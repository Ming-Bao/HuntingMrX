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1"/>
  </bookViews>
  <sheets>
    <sheet name="Form Responses 1" sheetId="1" state="visible" r:id="rId3"/>
    <sheet name="SUS Summary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<sst xmlns="http://schemas.openxmlformats.org/spreadsheetml/2006/main" count="50" uniqueCount="43">
  <si>
    <t xml:space="preserve">Timestamp</t>
  </si>
  <si>
    <t xml:space="preserve">Email or contact information for the vouchers</t>
  </si>
  <si>
    <t xml:space="preserve">What was your role?</t>
  </si>
  <si>
    <t xml:space="preserve">How many players in your game</t>
  </si>
  <si>
    <t xml:space="preserve">Which side felt stronger in your games</t>
  </si>
  <si>
    <t xml:space="preserve">I think that I would like to use this system frequently.</t>
  </si>
  <si>
    <t xml:space="preserve">I found the system unnecessarily complex.</t>
  </si>
  <si>
    <t xml:space="preserve">I thought the system was easy to use.</t>
  </si>
  <si>
    <t xml:space="preserve">I think that I would need the support of a technical person to be able to use this system.</t>
  </si>
  <si>
    <t xml:space="preserve">I found the various functions in this system were well integrated.</t>
  </si>
  <si>
    <t xml:space="preserve">I thought there was too much inconsistency in this system.</t>
  </si>
  <si>
    <t xml:space="preserve">I would imagine that most people would learn to use this system very quickly.</t>
  </si>
  <si>
    <t xml:space="preserve">I found the system very cumbersome to use.</t>
  </si>
  <si>
    <t xml:space="preserve">I felt very confident using the system.</t>
  </si>
  <si>
    <t xml:space="preserve">I needed to learn a lot of things before I could get going with this system.</t>
  </si>
  <si>
    <t xml:space="preserve">Any other comments or thoughts?</t>
  </si>
  <si>
    <t xml:space="preserve">SUS Score</t>
  </si>
  <si>
    <t xml:space="preserve">chiverchri@myvuw.ac.nz</t>
  </si>
  <si>
    <t xml:space="preserve">Detective</t>
  </si>
  <si>
    <t xml:space="preserve">Need of tips or some sort of short tutorial where a player can learn how to play</t>
  </si>
  <si>
    <t xml:space="preserve">reevejohn@myvuw.ac.nz</t>
  </si>
  <si>
    <t xml:space="preserve">The reachable nodes needs to be scaled to the screen size, and it could be useful to have a tutorial (even just a written one)</t>
  </si>
  <si>
    <t xml:space="preserve">Masonforsyth831@gmail.com</t>
  </si>
  <si>
    <t xml:space="preserve">Goated game</t>
  </si>
  <si>
    <t xml:space="preserve">wedgechar@myvuw.ac.nz</t>
  </si>
  <si>
    <t xml:space="preserve">Very fun game 10/10 - custom lobbies with super random, even "chaotic" options, would be cool</t>
  </si>
  <si>
    <t xml:space="preserve">heffernan.alexander@icloud.com</t>
  </si>
  <si>
    <t xml:space="preserve">Really fun game!</t>
  </si>
  <si>
    <t xml:space="preserve">caralill1331@gmail.com</t>
  </si>
  <si>
    <t xml:space="preserve">Fun game! Once I got going and after a slight initial learning curve I got going. The Mr X. log was pretty hard to read at first though.</t>
  </si>
  <si>
    <t xml:space="preserve">greengale@myvuw.ac.nz</t>
  </si>
  <si>
    <t xml:space="preserve">Mr.X</t>
  </si>
  <si>
    <t xml:space="preserve">Great work! </t>
  </si>
  <si>
    <t xml:space="preserve">Group</t>
  </si>
  <si>
    <t xml:space="preserve">Role in column C</t>
  </si>
  <si>
    <t xml:space="preserve">SUS score (0-100)</t>
  </si>
  <si>
    <t xml:space="preserve">n</t>
  </si>
  <si>
    <t xml:space="preserve">Mr X score</t>
  </si>
  <si>
    <t xml:space="preserve">Normal player (Detective) score</t>
  </si>
  <si>
    <t xml:space="preserve">Overall score</t>
  </si>
  <si>
    <t xml:space="preserve">All</t>
  </si>
  <si>
    <t xml:space="preserve">Per-respondent SUS = 2.5 x sum of (odd item - 1) and (5 - even item); see column Q of 'Form Responses 1'. Range 0-100.</t>
  </si>
  <si>
    <t xml:space="preserve">Source: https://measuringu.com/sus/ (average SUS benchmark = 68). Overall = mean of all respondents, not of the two group scores.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</si>
</sst>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m/d/yyyy\ h:mm:ss"/>
    <numFmt numFmtId="166" formatCode="0.0"/>
  </numFmts>
  <fonts count="6">
    <font>
      <sz val="10"/>
      <color rgb="FF000000"/>
      <name val="Arial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theme="1"/>
      <name val="Arial"/>
      <family val="0"/>
      <charset val="1"/>
    </font>
    <font>
      <b val="true"/>
      <sz val="11"/>
      <color theme="1"/>
      <name val="Arial"/>
      <family val="0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5" fontId="4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6" fontId="4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2"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</dxf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ables/table1.xml><?xml version="1.0" encoding="utf-8"?>
<table xmlns="http://schemas.openxmlformats.org/spreadsheetml/2006/main" id="1" name="Form_Responses" displayName="Form_Responses" ref="A1:Q8" headerRowCount="1" totalsRowCount="0" totalsRowShown="0">
  <tableColumns count="17">
    <tableColumn id="1" name="Timestamp"/>
    <tableColumn id="2" name="Email or contact information for the vouchers"/>
    <tableColumn id="3" name="What was your role?"/>
    <tableColumn id="4" name="How many players in your game"/>
    <tableColumn id="5" name="Which side felt stronger in your games"/>
    <tableColumn id="6" name="I think that I would like to use this system frequently."/>
    <tableColumn id="7" name="I found the system unnecessarily complex."/>
    <tableColumn id="8" name="I thought the system was easy to use."/>
    <tableColumn id="9" name="I think that I would need the support of a technical person to be able to use this system."/>
    <tableColumn id="10" name="I found the various functions in this system were well integrated."/>
    <tableColumn id="11" name="I thought there was too much inconsistency in this system."/>
    <tableColumn id="12" name="I would imagine that most people would learn to use this system very quickly."/>
    <tableColumn id="13" name="I found the system very cumbersome to use."/>
    <tableColumn id="14" name="I felt very confident using the system."/>
    <tableColumn id="15" name="I needed to learn a lot of things before I could get going with this system."/>
    <tableColumn id="16" name="Any other comments or thoughts?"/>
    <tableColumn id="17" name="SUS Score"/>
  </tableColumns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 pitchFamily="0" charset="1"/>
        <a:ea typeface="Arial" pitchFamily="0" charset="1"/>
        <a:cs typeface="Arial" pitchFamily="0" charset="1"/>
      </a:majorFont>
      <a:minorFont>
        <a:latin typeface="Arial" pitchFamily="0" charset="1"/>
        <a:ea typeface="Arial" pitchFamily="0" charset="1"/>
        <a:cs typeface="Arial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table" Target="../tables/table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outlinePr summaryBelow="0"/>
    <pageSetUpPr fitToPage="false"/>
  </sheetPr>
  <dimension ref="A1:Q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B3" activeCellId="0" sqref="B3"/>
    </sheetView>
  </sheetViews>
  <sheetFormatPr defaultColWidth="12.6328125" defaultRowHeight="15.75" customHeight="true" zeroHeight="false" outlineLevelRow="0" outlineLevelCol="0"/>
  <cols>
    <col collapsed="false" customWidth="true" hidden="false" outlineLevel="0" max="1" min="1" style="0" width="18.88"/>
    <col collapsed="false" customWidth="true" hidden="false" outlineLevel="0" max="2" min="2" style="0" width="37.63"/>
    <col collapsed="false" customWidth="true" hidden="false" outlineLevel="0" max="3" min="3" style="0" width="20"/>
    <col collapsed="false" customWidth="true" hidden="false" outlineLevel="0" max="4" min="4" style="0" width="28.38"/>
    <col collapsed="false" customWidth="true" hidden="false" outlineLevel="0" max="5" min="5" style="0" width="33"/>
    <col collapsed="false" customWidth="true" hidden="false" outlineLevel="0" max="6" min="6" style="0" width="37.63"/>
    <col collapsed="false" customWidth="true" hidden="false" outlineLevel="0" max="7" min="7" style="0" width="36.13"/>
    <col collapsed="false" customWidth="true" hidden="false" outlineLevel="0" max="8" min="8" style="0" width="32.63"/>
    <col collapsed="false" customWidth="true" hidden="false" outlineLevel="0" max="12" min="9" style="0" width="37.63"/>
    <col collapsed="false" customWidth="true" hidden="false" outlineLevel="0" max="13" min="13" style="0" width="37.38"/>
    <col collapsed="false" customWidth="true" hidden="false" outlineLevel="0" max="14" min="14" style="0" width="32.38"/>
    <col collapsed="false" customWidth="true" hidden="false" outlineLevel="0" max="15" min="15" style="0" width="37.63"/>
    <col collapsed="false" customWidth="true" hidden="false" outlineLevel="0" max="16" min="16" style="0" width="30"/>
    <col collapsed="false" customWidth="true" hidden="false" outlineLevel="0" max="22" min="17" style="0" width="18.88"/>
  </cols>
  <sheetData>
    <row r="1" customFormat="false" ht="22.5" hidden="false" customHeight="tru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customFormat="false" ht="22.5" hidden="false" customHeight="true" outlineLevel="0" collapsed="false">
      <c r="A2" s="2" t="n">
        <v>46274.6726512732</v>
      </c>
      <c r="B2" s="3" t="s">
        <v>17</v>
      </c>
      <c r="C2" s="3" t="s">
        <v>18</v>
      </c>
      <c r="D2" s="3" t="n">
        <v>4</v>
      </c>
      <c r="E2" s="3" t="n">
        <v>2</v>
      </c>
      <c r="F2" s="3" t="n">
        <v>4</v>
      </c>
      <c r="G2" s="3" t="n">
        <v>3</v>
      </c>
      <c r="H2" s="3" t="n">
        <v>4</v>
      </c>
      <c r="I2" s="3" t="n">
        <v>2</v>
      </c>
      <c r="J2" s="3" t="n">
        <v>4</v>
      </c>
      <c r="K2" s="3" t="n">
        <v>3</v>
      </c>
      <c r="L2" s="3" t="n">
        <v>2</v>
      </c>
      <c r="M2" s="3" t="n">
        <v>3</v>
      </c>
      <c r="N2" s="3" t="n">
        <v>4</v>
      </c>
      <c r="O2" s="3" t="n">
        <v>2</v>
      </c>
      <c r="P2" s="3" t="s">
        <v>19</v>
      </c>
      <c r="Q2" s="4" t="n">
        <f aca="false">IF(COUNT(F2:O2)=10,2.5*((F2-1)+(5-G2)+(H2-1)+(5-I2)+(J2-1)+(5-K2)+(L2-1)+(5-M2)+(N2-1)+(5-O2)),"")</f>
        <v>62.5</v>
      </c>
    </row>
    <row r="3" customFormat="false" ht="22.5" hidden="false" customHeight="true" outlineLevel="0" collapsed="false">
      <c r="A3" s="2" t="n">
        <v>46274.6731581829</v>
      </c>
      <c r="B3" s="3" t="s">
        <v>20</v>
      </c>
      <c r="C3" s="3" t="s">
        <v>18</v>
      </c>
      <c r="D3" s="3" t="n">
        <v>4</v>
      </c>
      <c r="E3" s="3" t="n">
        <v>2</v>
      </c>
      <c r="F3" s="3" t="n">
        <v>5</v>
      </c>
      <c r="G3" s="3" t="n">
        <v>2</v>
      </c>
      <c r="H3" s="3" t="n">
        <v>3</v>
      </c>
      <c r="I3" s="3" t="n">
        <v>4</v>
      </c>
      <c r="J3" s="3" t="n">
        <v>4</v>
      </c>
      <c r="K3" s="3" t="n">
        <v>2</v>
      </c>
      <c r="L3" s="3" t="n">
        <v>5</v>
      </c>
      <c r="M3" s="3" t="n">
        <v>3</v>
      </c>
      <c r="N3" s="3" t="n">
        <v>4</v>
      </c>
      <c r="O3" s="3" t="n">
        <v>3</v>
      </c>
      <c r="P3" s="3" t="s">
        <v>21</v>
      </c>
      <c r="Q3" s="4" t="n">
        <f aca="false">IF(COUNT(F3:O3)=10,2.5*((F3-1)+(5-G3)+(H3-1)+(5-I3)+(J3-1)+(5-K3)+(L3-1)+(5-M3)+(N3-1)+(5-O3)),"")</f>
        <v>67.5</v>
      </c>
    </row>
    <row r="4" customFormat="false" ht="22.5" hidden="false" customHeight="true" outlineLevel="0" collapsed="false">
      <c r="A4" s="2" t="n">
        <v>46275.4717646528</v>
      </c>
      <c r="B4" s="3" t="s">
        <v>22</v>
      </c>
      <c r="C4" s="3" t="s">
        <v>18</v>
      </c>
      <c r="D4" s="3" t="n">
        <v>4</v>
      </c>
      <c r="E4" s="3" t="n">
        <v>2</v>
      </c>
      <c r="F4" s="3" t="n">
        <v>5</v>
      </c>
      <c r="G4" s="3" t="n">
        <v>1</v>
      </c>
      <c r="H4" s="3" t="n">
        <v>4</v>
      </c>
      <c r="I4" s="3" t="n">
        <v>1</v>
      </c>
      <c r="J4" s="3" t="n">
        <v>5</v>
      </c>
      <c r="K4" s="3" t="n">
        <v>1</v>
      </c>
      <c r="L4" s="3" t="n">
        <v>5</v>
      </c>
      <c r="M4" s="3" t="n">
        <v>1</v>
      </c>
      <c r="N4" s="3" t="n">
        <v>4</v>
      </c>
      <c r="O4" s="3" t="n">
        <v>1</v>
      </c>
      <c r="P4" s="3" t="s">
        <v>23</v>
      </c>
      <c r="Q4" s="4" t="n">
        <f aca="false">IF(COUNT(F4:O4)=10,2.5*((F4-1)+(5-G4)+(H4-1)+(5-I4)+(J4-1)+(5-K4)+(L4-1)+(5-M4)+(N4-1)+(5-O4)),"")</f>
        <v>95</v>
      </c>
    </row>
    <row r="5" customFormat="false" ht="22.5" hidden="false" customHeight="true" outlineLevel="0" collapsed="false">
      <c r="A5" s="2" t="n">
        <v>46275.7449009259</v>
      </c>
      <c r="B5" s="3" t="s">
        <v>24</v>
      </c>
      <c r="C5" s="3" t="s">
        <v>18</v>
      </c>
      <c r="D5" s="3" t="n">
        <v>5</v>
      </c>
      <c r="E5" s="3" t="n">
        <v>2</v>
      </c>
      <c r="F5" s="3" t="n">
        <v>4</v>
      </c>
      <c r="G5" s="3" t="n">
        <v>2</v>
      </c>
      <c r="H5" s="3" t="n">
        <v>4</v>
      </c>
      <c r="I5" s="3" t="n">
        <v>4</v>
      </c>
      <c r="J5" s="3" t="n">
        <v>4</v>
      </c>
      <c r="K5" s="3" t="n">
        <v>2</v>
      </c>
      <c r="L5" s="3" t="n">
        <v>3</v>
      </c>
      <c r="M5" s="3" t="n">
        <v>2</v>
      </c>
      <c r="N5" s="3" t="n">
        <v>4</v>
      </c>
      <c r="O5" s="3" t="n">
        <v>5</v>
      </c>
      <c r="P5" s="3" t="s">
        <v>25</v>
      </c>
      <c r="Q5" s="4" t="n">
        <f aca="false">IF(COUNT(F5:O5)=10,2.5*((F5-1)+(5-G5)+(H5-1)+(5-I5)+(J5-1)+(5-K5)+(L5-1)+(5-M5)+(N5-1)+(5-O5)),"")</f>
        <v>60</v>
      </c>
    </row>
    <row r="6" customFormat="false" ht="22.5" hidden="false" customHeight="true" outlineLevel="0" collapsed="false">
      <c r="A6" s="2" t="n">
        <v>46275.8566403125</v>
      </c>
      <c r="B6" s="3" t="s">
        <v>26</v>
      </c>
      <c r="C6" s="3" t="s">
        <v>18</v>
      </c>
      <c r="D6" s="3" t="n">
        <v>5</v>
      </c>
      <c r="E6" s="3" t="n">
        <v>2</v>
      </c>
      <c r="F6" s="3" t="n">
        <v>4</v>
      </c>
      <c r="G6" s="3" t="n">
        <v>2</v>
      </c>
      <c r="H6" s="3" t="n">
        <v>4</v>
      </c>
      <c r="I6" s="3" t="n">
        <v>3</v>
      </c>
      <c r="J6" s="3" t="n">
        <v>4</v>
      </c>
      <c r="K6" s="3" t="n">
        <v>2</v>
      </c>
      <c r="L6" s="3" t="n">
        <v>5</v>
      </c>
      <c r="M6" s="3" t="n">
        <v>1</v>
      </c>
      <c r="N6" s="3" t="n">
        <v>5</v>
      </c>
      <c r="O6" s="3" t="n">
        <v>2</v>
      </c>
      <c r="P6" s="3" t="s">
        <v>27</v>
      </c>
      <c r="Q6" s="4" t="n">
        <f aca="false">IF(COUNT(F6:O6)=10,2.5*((F6-1)+(5-G6)+(H6-1)+(5-I6)+(J6-1)+(5-K6)+(L6-1)+(5-M6)+(N6-1)+(5-O6)),"")</f>
        <v>80</v>
      </c>
    </row>
    <row r="7" customFormat="false" ht="22.5" hidden="false" customHeight="true" outlineLevel="0" collapsed="false">
      <c r="A7" s="2" t="n">
        <v>46275.8572985301</v>
      </c>
      <c r="B7" s="3" t="s">
        <v>28</v>
      </c>
      <c r="C7" s="3" t="s">
        <v>18</v>
      </c>
      <c r="D7" s="3" t="n">
        <v>5</v>
      </c>
      <c r="E7" s="3" t="n">
        <v>2</v>
      </c>
      <c r="F7" s="3" t="n">
        <v>4</v>
      </c>
      <c r="G7" s="3" t="n">
        <v>2</v>
      </c>
      <c r="H7" s="3" t="n">
        <v>4</v>
      </c>
      <c r="I7" s="3" t="n">
        <v>3</v>
      </c>
      <c r="J7" s="3" t="n">
        <v>4</v>
      </c>
      <c r="K7" s="3" t="n">
        <v>1</v>
      </c>
      <c r="L7" s="3" t="n">
        <v>4</v>
      </c>
      <c r="M7" s="3" t="n">
        <v>2</v>
      </c>
      <c r="N7" s="3" t="n">
        <v>5</v>
      </c>
      <c r="O7" s="3" t="n">
        <v>4</v>
      </c>
      <c r="P7" s="3" t="s">
        <v>29</v>
      </c>
      <c r="Q7" s="4" t="n">
        <f aca="false">IF(COUNT(F7:O7)=10,2.5*((F7-1)+(5-G7)+(H7-1)+(5-I7)+(J7-1)+(5-K7)+(L7-1)+(5-M7)+(N7-1)+(5-O7)),"")</f>
        <v>72.5</v>
      </c>
    </row>
    <row r="8" customFormat="false" ht="22.5" hidden="false" customHeight="true" outlineLevel="0" collapsed="false">
      <c r="A8" s="2" t="n">
        <v>46275.9211037153</v>
      </c>
      <c r="B8" s="3" t="s">
        <v>30</v>
      </c>
      <c r="C8" s="3" t="s">
        <v>31</v>
      </c>
      <c r="D8" s="3" t="n">
        <v>6</v>
      </c>
      <c r="E8" s="3" t="n">
        <v>2</v>
      </c>
      <c r="F8" s="3" t="n">
        <v>4</v>
      </c>
      <c r="G8" s="3" t="n">
        <v>2</v>
      </c>
      <c r="H8" s="3" t="n">
        <v>4</v>
      </c>
      <c r="I8" s="3" t="n">
        <v>3</v>
      </c>
      <c r="J8" s="3" t="n">
        <v>4</v>
      </c>
      <c r="K8" s="3" t="n">
        <v>1</v>
      </c>
      <c r="L8" s="3" t="n">
        <v>4</v>
      </c>
      <c r="M8" s="3" t="n">
        <v>2</v>
      </c>
      <c r="N8" s="3" t="n">
        <v>4</v>
      </c>
      <c r="O8" s="3" t="n">
        <v>4</v>
      </c>
      <c r="P8" s="3" t="s">
        <v>32</v>
      </c>
      <c r="Q8" s="4" t="n">
        <f aca="false">IF(COUNT(F8:O8)=10,2.5*((F8-1)+(5-G8)+(H8-1)+(5-I8)+(J8-1)+(5-K8)+(L8-1)+(5-M8)+(N8-1)+(5-O8)),"")</f>
        <v>70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6" activeCellId="0" sqref="A6"/>
    </sheetView>
  </sheetViews>
  <sheetFormatPr defaultColWidth="12.6328125" defaultRowHeight="15.75" customHeight="false" zeroHeight="false" outlineLevelRow="0" outlineLevelCol="0"/>
  <cols>
    <col collapsed="false" customWidth="true" hidden="false" outlineLevel="0" max="1" min="1" style="0" width="41.18"/>
    <col collapsed="false" customWidth="true" hidden="false" outlineLevel="0" max="2" min="2" style="0" width="18"/>
    <col collapsed="false" customWidth="true" hidden="false" outlineLevel="0" max="3" min="3" style="0" width="20"/>
    <col collapsed="false" customWidth="true" hidden="false" outlineLevel="0" max="4" min="4" style="0" width="8"/>
  </cols>
  <sheetData>
    <row r="1" customFormat="false" ht="15.75" hidden="false" customHeight="false" outlineLevel="0" collapsed="false">
      <c r="A1" s="5" t="s">
        <v>33</v>
      </c>
      <c r="B1" s="5" t="s">
        <v>34</v>
      </c>
      <c r="C1" s="5" t="s">
        <v>35</v>
      </c>
      <c r="D1" s="5" t="s">
        <v>36</v>
      </c>
    </row>
    <row r="2" customFormat="false" ht="15.75" hidden="false" customHeight="false" outlineLevel="0" collapsed="false">
      <c r="A2" s="1" t="s">
        <v>37</v>
      </c>
      <c r="B2" s="3" t="s">
        <v>31</v>
      </c>
      <c r="C2" s="4" t="n">
        <f aca="false">AVERAGEIF('Form Responses 1'!$C:$C,B2,'Form Responses 1'!$Q:$Q)</f>
        <v>70</v>
      </c>
      <c r="D2" s="3" t="n">
        <f aca="false">COUNTIFS('Form Responses 1'!$C:$C,B2,'Form Responses 1'!$Q:$Q,"&gt;=0")</f>
        <v>1</v>
      </c>
    </row>
    <row r="3" customFormat="false" ht="15.75" hidden="false" customHeight="false" outlineLevel="0" collapsed="false">
      <c r="A3" s="1" t="s">
        <v>38</v>
      </c>
      <c r="B3" s="3" t="s">
        <v>18</v>
      </c>
      <c r="C3" s="4" t="n">
        <f aca="false">AVERAGEIF('Form Responses 1'!$C:$C,B3,'Form Responses 1'!$Q:$Q)</f>
        <v>72.9166666666667</v>
      </c>
      <c r="D3" s="3" t="n">
        <f aca="false">COUNTIFS('Form Responses 1'!$C:$C,B3,'Form Responses 1'!$Q:$Q,"&gt;=0")</f>
        <v>6</v>
      </c>
    </row>
    <row r="4" customFormat="false" ht="15.75" hidden="false" customHeight="false" outlineLevel="0" collapsed="false">
      <c r="A4" s="1" t="s">
        <v>39</v>
      </c>
      <c r="B4" s="3" t="s">
        <v>40</v>
      </c>
      <c r="C4" s="4" t="n">
        <f aca="false">AVERAGE('Form Responses 1'!$Q:$Q)</f>
        <v>72.5</v>
      </c>
      <c r="D4" s="3" t="n">
        <f aca="false">COUNT('Form Responses 1'!$Q:$Q)</f>
        <v>7</v>
      </c>
    </row>
    <row r="6" customFormat="false" ht="15.75" hidden="false" customHeight="false" outlineLevel="0" collapsed="false">
      <c r="A6" s="1" t="s">
        <v>41</v>
      </c>
    </row>
    <row r="7" customFormat="false" ht="15.75" hidden="false" customHeight="false" outlineLevel="0" collapsed="false">
      <c r="A7" s="1" t="s">
        <v>42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100</TotalTime>
  <Application>LibreOffice/26.2.6.3$Linux_X86_64 LibreOffice_project/620$Build-3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en-NZ</dc:language>
  <cp:lastModifiedBy/>
  <dcterms:modified xsi:type="dcterms:W3CDTF">2026-09-19T23:39:31Z</dcterms:modified>
  <cp:revision>1</cp:revision>
  <dc:subject/>
  <dc:title/>
</cp:coreProperties>
</file>